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cours\Semestre 2\projet module 404\docs\plannig\"/>
    </mc:Choice>
  </mc:AlternateContent>
  <xr:revisionPtr revIDLastSave="0" documentId="13_ncr:1_{2817008C-A920-483B-BD4D-9D3DBE7B31EC}" xr6:coauthVersionLast="47" xr6:coauthVersionMax="47" xr10:uidLastSave="{00000000-0000-0000-0000-000000000000}"/>
  <bookViews>
    <workbookView xWindow="28680" yWindow="-120" windowWidth="29040" windowHeight="15840" activeTab="4"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2" i="156" l="1"/>
  <c r="D153" i="156"/>
  <c r="D134" i="156"/>
  <c r="D115" i="156"/>
  <c r="D96" i="156"/>
  <c r="D77" i="156"/>
  <c r="D58" i="156"/>
  <c r="D39" i="156"/>
  <c r="D20" i="156"/>
  <c r="D1" i="156"/>
  <c r="B189" i="156"/>
  <c r="B170" i="156"/>
  <c r="B151" i="156"/>
  <c r="B132" i="156"/>
  <c r="B113" i="156"/>
  <c r="B94" i="156"/>
  <c r="B75" i="156"/>
  <c r="B56" i="156"/>
  <c r="B37" i="156"/>
  <c r="B18" i="156"/>
  <c r="B139" i="155"/>
  <c r="B125" i="155"/>
  <c r="B111" i="155"/>
  <c r="B97" i="155"/>
  <c r="B83" i="155"/>
  <c r="B69" i="155"/>
  <c r="B55" i="155"/>
  <c r="B41" i="155"/>
  <c r="B27" i="155"/>
  <c r="B13" i="155"/>
  <c r="B18" i="154"/>
  <c r="B13" i="11" l="1"/>
</calcChain>
</file>

<file path=xl/sharedStrings.xml><?xml version="1.0" encoding="utf-8"?>
<sst xmlns="http://schemas.openxmlformats.org/spreadsheetml/2006/main" count="305" uniqueCount="93">
  <si>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</si>
  <si>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</si>
  <si>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</si>
  <si>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</si>
  <si>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</si>
  <si>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</si>
  <si>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</si>
  <si>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</si>
  <si>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</si>
  <si>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</si>
  <si>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</si>
  <si>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</si>
  <si>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</si>
  <si>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</si>
  <si>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</si>
  <si>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</si>
  <si>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</si>
  <si>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</si>
  <si>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</si>
  <si>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</si>
  <si>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</si>
  <si>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</si>
  <si>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</si>
  <si>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</si>
  <si>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404-Projet Master Mind en Grraphique</t>
  </si>
  <si>
    <t>Hanieh Mohajerani</t>
  </si>
  <si>
    <t>FIN-1</t>
  </si>
  <si>
    <t>Vennes</t>
  </si>
  <si>
    <t>Analyse</t>
  </si>
  <si>
    <t>Réalisation</t>
  </si>
  <si>
    <t>Test</t>
  </si>
  <si>
    <t>docs</t>
  </si>
  <si>
    <t>Finaliser</t>
  </si>
  <si>
    <t>Max. 12</t>
  </si>
  <si>
    <t>STOP</t>
  </si>
  <si>
    <t>vacance</t>
  </si>
  <si>
    <t>pm2etml-intranet</t>
  </si>
  <si>
    <t xml:space="preserve">analyse de sojet et créer le maquette graphique sur papier </t>
  </si>
  <si>
    <t>j'ai crée le code secrete</t>
  </si>
  <si>
    <t>j'ai ajouté les codes pour les positions  mais ca marche pas tres bien</t>
  </si>
  <si>
    <t>j'ai testé tout que c'est possible mais je doit changer les condition de montrer les colores justes</t>
  </si>
  <si>
    <t>j'ai corrigé les condition de montrer la place de color juste et pas juste et ca marche</t>
  </si>
  <si>
    <t>j'ai testé avec les colores different et ca marche bien</t>
  </si>
  <si>
    <t>j'ai ajouté mon code sur github</t>
  </si>
  <si>
    <t>corriger le position et le color juste</t>
  </si>
  <si>
    <t>test le code avec les colors different</t>
  </si>
  <si>
    <t>ajuoter le code sur github</t>
  </si>
  <si>
    <t>autoevaluation</t>
  </si>
  <si>
    <t>cirriger final le code</t>
  </si>
  <si>
    <t>modifiere le graphique</t>
  </si>
  <si>
    <t>modifiere le code pour le position et colors</t>
  </si>
  <si>
    <t>test final</t>
  </si>
  <si>
    <t>analyse mon code précédent de mastermind avec Mme.Aurélie Curchod</t>
  </si>
  <si>
    <t>corriger le code précédent en fin de  simplifier les codes avec remplacer methodes par tout</t>
  </si>
  <si>
    <t xml:space="preserve">finir le remplacement les methodes ,j'ai ajouté lesw methodes a la place d'utiliser les condition et les boucles </t>
  </si>
  <si>
    <t>tester la dérniere modification</t>
  </si>
  <si>
    <t>j'ai analyse de sojet et j'ai pris des notes et j'ai regardé sur google les modèles pareil ,j'ai fait le maquette sur le papier pour moi,j'ai fait très simple mais avec du temps je vais ajouter les autre buttons</t>
  </si>
  <si>
    <t>j'ai analyseé mon old code avec Mme. Aurélie Curchod :je doit ajouter les methode pour mon code.</t>
  </si>
  <si>
    <t xml:space="preserve"> j'ai commencé a ajouté les methodes dans mon projet,j'ai ajouté 3 methodes </t>
  </si>
  <si>
    <t>j'ai besoin1methode pour les messages et 1 pour les boocle,et je doit continuer le methode pour position color aussi</t>
  </si>
  <si>
    <t>j'ai encore modifié les methodes sur le projet mastermind et j'ai corriger le partie position aussi</t>
  </si>
  <si>
    <t>j'ai testé mes codes avec les methodes et ca marche très bien</t>
  </si>
  <si>
    <t>céer le interface pour projet mastermind :2 interface ,1 menu et i interface pour tout les buttons</t>
  </si>
  <si>
    <t>continue sur interface et finir le création des buttons</t>
  </si>
  <si>
    <t>creation de code secrete dans windows forms</t>
  </si>
  <si>
    <t>j'ai fini le designe interface et j'ai décidé de créer 2 tableax sur le panel que se crée avec l'exacutation de jeu.1 tableau pour mentrer les colors et l'autre pour les position</t>
  </si>
  <si>
    <t>j'ai crée les codes pour les buttons de colors .j'ai travaillé sur les buttons de choisir les color ,on peut choisir 1 color plusiere fois avec 1 methode et le condition</t>
  </si>
  <si>
    <t xml:space="preserve">faire le connexion avec  le button valider avec mes colors d'entre </t>
  </si>
  <si>
    <t>j'ai codé le button valider et j'ai le connecté avec mes buttons des colors et j'ai crée les  codes secrets er a la fin j'ai connecté les code secret avec le button valider et les colors choisir.</t>
  </si>
  <si>
    <t>j'ai testé les buttons valider et j'ai choisi des colors ,ca marche bien,le button valider et connecté avec le code secret et les colors</t>
  </si>
  <si>
    <t>j'ai cree mon tableau de position des colors et si le color est just il retourne la colore blanche si color exist mais mal position ,il retourn le color noire si non il retourne rien.</t>
  </si>
  <si>
    <t xml:space="preserve">pour ce mement il marche pas completment juste,il montre que les colors blanches et noirs </t>
  </si>
  <si>
    <t>créer le tableau automatiquement  de position</t>
  </si>
  <si>
    <t xml:space="preserve">tester le bouton valider et les colors si ca marche bien,tester les botons si ca conect avec mon code de secret ou non </t>
  </si>
  <si>
    <t>tester le tableau de position</t>
  </si>
  <si>
    <t>créer 1 tableau pour le code secret et mettre les colors dans le tableau</t>
  </si>
  <si>
    <t>tester le tableau de code secret</t>
  </si>
  <si>
    <t xml:space="preserve">j'ai commencé a créer  2'interface et j'ai crée les button sur le prémiere interface : button valider pour valider les color entrer poue comparer avec le code secret, 1 button pour effacer le code pour effacer les colors que j'ai entrée en interface pour rejouer ou recommencer le jeu ,1 button pour les code secret pour créer le code secret,4 buttons de colos pour code secret.1 button pour pour cacher le code secret que on ne puisse pas voire le code secret,1 button pour conecter a la premiere page que c'est menu et le regle de jeu et 8 button avec 8 colors differents que on peux choisir chaque fois. dans l'autre interface j'ai crée le button de menu et j'ai écrit les régles de jeu. </t>
  </si>
  <si>
    <t>travail sur le tableau de position</t>
  </si>
  <si>
    <t>j'ai crée le tableau du position de colos et il se crée automatic chaque fois qu'on exacute le jeu ,j'ai ajouté les x et y par rapport le taill de mon panel et les dimenssion et ca marche</t>
  </si>
  <si>
    <t>j'ai crée 1 tableau  et j'ai ajuoté les colos de code secret dans le tableau</t>
  </si>
  <si>
    <t>j'ai changé les code pour les position des colors mais pour les colors  mal positioner ca marche pas très bien</t>
  </si>
  <si>
    <t>j'ai travaillé sur les position et les colores,d'abord j'ai reussit de faire les colores juste en marque le colore blanche mais c'était le niveau facile donc je doit modifire encore</t>
  </si>
  <si>
    <t>finir le jornal de travail</t>
  </si>
  <si>
    <t>le semain des vacances</t>
  </si>
  <si>
    <t>j'ai modifiere le graphique que soit claire et joli et j'ai changer le color de interface et le graphique</t>
  </si>
  <si>
    <t>ècrire le code pour  les buttons de choisir des color. On doit arriver a choisir chaque color plusiere fois.</t>
  </si>
  <si>
    <t>le semains des vacances</t>
  </si>
  <si>
    <t>tester finaliser pour chaque étapes</t>
  </si>
  <si>
    <t>j'ai fini le jornal de travail</t>
  </si>
  <si>
    <t>j'ai corrogé les color de position :le color blanche pour le color juste,le color noir pour le color just et mal positioner et le color gris pour les color que existe pas</t>
  </si>
  <si>
    <t>j'ai corrigé le final</t>
  </si>
  <si>
    <t>j'ai corrigé final et pusher sur git 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</si>
</sst>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0" fillId="0" borderId="1" xfId="0" applyBorder="1" applyAlignment="1" applyProtection="1">
      <alignment horizontal="left" vertical="top" wrapText="1"/>
      <protection locked="0"/>
    </xf>
    <xf numFmtId="14" fontId="8" fillId="0" borderId="1" xfId="0" applyNumberFormat="1" applyFont="1"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5</xdr:col>
          <xdr:colOff>790575</xdr:colOff>
          <xdr:row>3</xdr:row>
          <xdr:rowOff>219075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5</xdr:col>
          <xdr:colOff>809625</xdr:colOff>
          <xdr:row>7</xdr:row>
          <xdr:rowOff>57150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104775</xdr:colOff>
          <xdr:row>3</xdr:row>
          <xdr:rowOff>66675</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104775</xdr:colOff>
          <xdr:row>3</xdr:row>
          <xdr:rowOff>66675</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4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104775</xdr:colOff>
          <xdr:row>3</xdr:row>
          <xdr:rowOff>66675</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104775</xdr:colOff>
          <xdr:row>2</xdr:row>
          <xdr:rowOff>228600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zoomScaleNormal="100" zoomScaleSheetLayoutView="100" workbookViewId="0">
      <selection activeCell="C26" sqref="C26"/>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24</v>
      </c>
      <c r="D3" s="59"/>
      <c r="E3" s="59"/>
      <c r="F3" s="59"/>
      <c r="G3" s="60"/>
    </row>
    <row r="4" spans="1:7" ht="20.25" x14ac:dyDescent="0.25">
      <c r="A4" s="58"/>
      <c r="B4" s="63" t="s">
        <v>4</v>
      </c>
      <c r="C4" s="64" t="s">
        <v>25</v>
      </c>
      <c r="D4" s="59"/>
      <c r="E4" s="59"/>
      <c r="F4" s="59"/>
      <c r="G4" s="60"/>
    </row>
    <row r="5" spans="1:7" ht="20.25" x14ac:dyDescent="0.25">
      <c r="A5" s="58"/>
      <c r="B5" s="63" t="s">
        <v>1</v>
      </c>
      <c r="C5" s="64" t="s">
        <v>26</v>
      </c>
      <c r="D5" s="59"/>
      <c r="E5" s="59"/>
      <c r="F5" s="59"/>
      <c r="G5" s="60"/>
    </row>
    <row r="6" spans="1:7" ht="21" thickBot="1" x14ac:dyDescent="0.3">
      <c r="A6" s="58"/>
      <c r="B6" s="65" t="s">
        <v>2</v>
      </c>
      <c r="C6" s="66" t="s">
        <v>27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9</v>
      </c>
      <c r="C9" s="67">
        <v>45239</v>
      </c>
      <c r="D9" s="59"/>
      <c r="E9" s="59"/>
      <c r="F9" s="59"/>
      <c r="G9" s="60"/>
    </row>
    <row r="10" spans="1:7" ht="20.25" x14ac:dyDescent="0.25">
      <c r="A10" s="58"/>
      <c r="B10" s="68" t="s">
        <v>8</v>
      </c>
      <c r="C10" s="69">
        <v>45302</v>
      </c>
      <c r="D10" s="59"/>
      <c r="E10" s="59"/>
      <c r="F10" s="59"/>
      <c r="G10" s="60"/>
    </row>
    <row r="11" spans="1:7" ht="20.25" x14ac:dyDescent="0.25">
      <c r="A11" s="58"/>
      <c r="B11" s="68" t="s">
        <v>10</v>
      </c>
      <c r="C11" s="70">
        <v>10</v>
      </c>
      <c r="D11" s="59"/>
      <c r="E11" s="59"/>
      <c r="F11" s="59"/>
      <c r="G11" s="60"/>
    </row>
    <row r="12" spans="1:7" ht="20.25" x14ac:dyDescent="0.25">
      <c r="A12" s="58"/>
      <c r="B12" s="63" t="s">
        <v>11</v>
      </c>
      <c r="C12" s="71">
        <v>4</v>
      </c>
      <c r="D12" s="59"/>
      <c r="E12" s="59"/>
      <c r="F12" s="59"/>
      <c r="G12" s="60"/>
    </row>
    <row r="13" spans="1:7" ht="20.25" x14ac:dyDescent="0.25">
      <c r="A13" s="58"/>
      <c r="B13" s="63" t="s">
        <v>12</v>
      </c>
      <c r="C13" s="71">
        <v>3</v>
      </c>
      <c r="D13" s="59"/>
      <c r="E13" s="59"/>
      <c r="F13" s="59"/>
      <c r="G13" s="60"/>
    </row>
    <row r="14" spans="1:7" ht="20.25" thickBot="1" x14ac:dyDescent="0.3">
      <c r="A14" s="58"/>
      <c r="B14" s="72"/>
      <c r="C14" s="73" t="s">
        <v>6</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94" t="s">
        <v>19</v>
      </c>
      <c r="C19" s="95"/>
      <c r="D19" s="59"/>
      <c r="E19" s="59"/>
      <c r="F19" s="59"/>
      <c r="G19" s="60"/>
    </row>
    <row r="20" spans="1:7" ht="20.25" x14ac:dyDescent="0.25">
      <c r="A20" s="78"/>
      <c r="B20" s="79" t="s">
        <v>20</v>
      </c>
      <c r="C20" s="80" t="s">
        <v>21</v>
      </c>
      <c r="D20" s="59"/>
      <c r="E20" s="59"/>
      <c r="F20" s="59"/>
      <c r="G20" s="60"/>
    </row>
    <row r="21" spans="1:7" ht="20.25" x14ac:dyDescent="0.25">
      <c r="A21" s="78"/>
      <c r="B21" s="79">
        <v>1</v>
      </c>
      <c r="C21" s="69" t="s">
        <v>28</v>
      </c>
      <c r="D21" s="59"/>
      <c r="E21" s="59"/>
      <c r="F21" s="59"/>
      <c r="G21" s="60"/>
    </row>
    <row r="22" spans="1:7" ht="20.25" x14ac:dyDescent="0.25">
      <c r="A22" s="78"/>
      <c r="B22" s="79">
        <v>2</v>
      </c>
      <c r="C22" s="70" t="s">
        <v>29</v>
      </c>
      <c r="D22" s="59"/>
      <c r="E22" s="59"/>
      <c r="F22" s="59"/>
      <c r="G22" s="60"/>
    </row>
    <row r="23" spans="1:7" ht="20.25" x14ac:dyDescent="0.25">
      <c r="A23" s="78"/>
      <c r="B23" s="81">
        <v>3</v>
      </c>
      <c r="C23" s="70" t="s">
        <v>30</v>
      </c>
      <c r="D23" s="59"/>
      <c r="E23" s="59"/>
      <c r="F23" s="59"/>
      <c r="G23" s="60"/>
    </row>
    <row r="24" spans="1:7" ht="20.25" x14ac:dyDescent="0.25">
      <c r="A24" s="78"/>
      <c r="B24" s="79">
        <v>4</v>
      </c>
      <c r="C24" s="70" t="s">
        <v>31</v>
      </c>
      <c r="D24" s="59"/>
      <c r="E24" s="59"/>
      <c r="F24" s="59"/>
      <c r="G24" s="60"/>
    </row>
    <row r="25" spans="1:7" ht="20.25" x14ac:dyDescent="0.25">
      <c r="A25" s="78"/>
      <c r="B25" s="79">
        <v>5</v>
      </c>
      <c r="C25" s="70" t="s">
        <v>32</v>
      </c>
      <c r="D25" s="59"/>
      <c r="E25" s="59"/>
      <c r="F25" s="59"/>
      <c r="G25" s="60"/>
    </row>
    <row r="26" spans="1:7" ht="20.25" x14ac:dyDescent="0.25">
      <c r="A26" s="78"/>
      <c r="B26" s="81">
        <v>6</v>
      </c>
      <c r="C26" s="70"/>
      <c r="D26" s="59"/>
      <c r="E26" s="59"/>
      <c r="F26" s="59"/>
      <c r="G26" s="60"/>
    </row>
    <row r="27" spans="1:7" ht="20.25" x14ac:dyDescent="0.25">
      <c r="A27" s="78"/>
      <c r="B27" s="79">
        <v>7</v>
      </c>
      <c r="C27" s="70"/>
      <c r="D27" s="59"/>
      <c r="E27" s="59"/>
      <c r="F27" s="59"/>
      <c r="G27" s="60"/>
    </row>
    <row r="28" spans="1:7" ht="20.25" x14ac:dyDescent="0.25">
      <c r="A28" s="78"/>
      <c r="B28" s="79">
        <v>8</v>
      </c>
      <c r="C28" s="71"/>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14</v>
      </c>
      <c r="B1" s="7">
        <v>1</v>
      </c>
      <c r="C1" s="17"/>
      <c r="D1" s="85"/>
    </row>
    <row r="2" spans="1:4" ht="27.7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6351F-15E2-4D84-9AAE-0BC33566233D}">
  <sheetPr codeName="Feuil5"/>
  <dimension ref="A1:H141"/>
  <sheetViews>
    <sheetView tabSelected="1" topLeftCell="A110" workbookViewId="0">
      <selection activeCell="C129" sqref="C129"/>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14</v>
      </c>
      <c r="B1" s="7">
        <v>1</v>
      </c>
      <c r="C1" s="17"/>
      <c r="D1" s="85"/>
    </row>
    <row r="2" spans="1:4" ht="27.75" thickBot="1" x14ac:dyDescent="0.3">
      <c r="A2" s="8" t="s">
        <v>3</v>
      </c>
      <c r="B2" s="18" t="s">
        <v>15</v>
      </c>
      <c r="C2" s="8" t="s">
        <v>7</v>
      </c>
      <c r="D2" s="8" t="s">
        <v>13</v>
      </c>
    </row>
    <row r="3" spans="1:4" s="52" customFormat="1" x14ac:dyDescent="0.25">
      <c r="A3" s="5"/>
      <c r="B3" s="4"/>
      <c r="C3" s="90">
        <v>45239</v>
      </c>
      <c r="D3" s="9"/>
    </row>
    <row r="4" spans="1:4" s="52" customFormat="1" x14ac:dyDescent="0.25">
      <c r="A4" s="1" t="s">
        <v>28</v>
      </c>
      <c r="B4" s="2">
        <v>2</v>
      </c>
      <c r="C4" s="91" t="s">
        <v>37</v>
      </c>
      <c r="D4" s="91" t="s">
        <v>36</v>
      </c>
    </row>
    <row r="5" spans="1:4" s="52" customFormat="1" x14ac:dyDescent="0.25">
      <c r="A5" s="1" t="s">
        <v>28</v>
      </c>
      <c r="B5" s="2">
        <v>1</v>
      </c>
      <c r="C5" s="91" t="s">
        <v>52</v>
      </c>
      <c r="D5" s="10"/>
    </row>
    <row r="6" spans="1:4" s="52" customFormat="1" ht="27" x14ac:dyDescent="0.25">
      <c r="A6" s="1" t="s">
        <v>28</v>
      </c>
      <c r="B6" s="2">
        <v>1</v>
      </c>
      <c r="C6" s="91" t="s">
        <v>53</v>
      </c>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4</v>
      </c>
      <c r="C13" s="86" t="s">
        <v>33</v>
      </c>
      <c r="D13" s="13"/>
    </row>
    <row r="14" spans="1:4" ht="15" thickBot="1" x14ac:dyDescent="0.35">
      <c r="A14" s="14"/>
      <c r="B14" s="14"/>
      <c r="C14" s="14"/>
      <c r="D14" s="14"/>
    </row>
    <row r="15" spans="1:4" ht="18.75" thickBot="1" x14ac:dyDescent="0.3">
      <c r="A15" s="6" t="s">
        <v>14</v>
      </c>
      <c r="B15" s="7">
        <v>2</v>
      </c>
      <c r="C15" s="17"/>
      <c r="D15" s="85"/>
    </row>
    <row r="16" spans="1:4" ht="27.75" thickBot="1" x14ac:dyDescent="0.3">
      <c r="A16" s="8" t="s">
        <v>3</v>
      </c>
      <c r="B16" s="18" t="s">
        <v>15</v>
      </c>
      <c r="C16" s="8" t="s">
        <v>7</v>
      </c>
      <c r="D16" s="8" t="s">
        <v>13</v>
      </c>
    </row>
    <row r="17" spans="1:8" x14ac:dyDescent="0.25">
      <c r="A17" s="5"/>
      <c r="B17" s="4"/>
      <c r="C17" s="90">
        <v>45246</v>
      </c>
      <c r="D17" s="9"/>
    </row>
    <row r="18" spans="1:8" ht="27" x14ac:dyDescent="0.25">
      <c r="A18" s="1" t="s">
        <v>28</v>
      </c>
      <c r="B18" s="2">
        <v>1</v>
      </c>
      <c r="C18" s="91" t="s">
        <v>54</v>
      </c>
      <c r="D18" s="10"/>
    </row>
    <row r="19" spans="1:8" x14ac:dyDescent="0.25">
      <c r="A19" s="1" t="s">
        <v>30</v>
      </c>
      <c r="B19" s="2">
        <v>1</v>
      </c>
      <c r="C19" s="91" t="s">
        <v>55</v>
      </c>
      <c r="D19" s="10"/>
    </row>
    <row r="20" spans="1:8" ht="12.75" customHeight="1" x14ac:dyDescent="0.25">
      <c r="A20" s="1" t="s">
        <v>29</v>
      </c>
      <c r="B20" s="2">
        <v>2</v>
      </c>
      <c r="C20" s="91" t="s">
        <v>62</v>
      </c>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22</v>
      </c>
      <c r="B27" s="12">
        <f>SUM(B17:B26)</f>
        <v>4</v>
      </c>
      <c r="C27" s="86" t="s">
        <v>33</v>
      </c>
      <c r="D27" s="13"/>
      <c r="F27" s="36"/>
      <c r="G27" s="37"/>
      <c r="H27" s="37"/>
    </row>
    <row r="28" spans="1:8" ht="15" thickBot="1" x14ac:dyDescent="0.35">
      <c r="A28" s="14"/>
      <c r="B28" s="14"/>
      <c r="C28" s="14"/>
      <c r="D28" s="14"/>
      <c r="F28" s="36"/>
      <c r="G28" s="37"/>
      <c r="H28" s="37"/>
    </row>
    <row r="29" spans="1:8" ht="18.75" thickBot="1" x14ac:dyDescent="0.3">
      <c r="A29" s="6" t="s">
        <v>14</v>
      </c>
      <c r="B29" s="7">
        <v>3</v>
      </c>
      <c r="C29" s="17"/>
      <c r="D29" s="85"/>
      <c r="F29" s="36"/>
      <c r="G29" s="37"/>
      <c r="H29" s="37"/>
    </row>
    <row r="30" spans="1:8" ht="27.75" thickBot="1" x14ac:dyDescent="0.3">
      <c r="A30" s="8" t="s">
        <v>3</v>
      </c>
      <c r="B30" s="18" t="s">
        <v>15</v>
      </c>
      <c r="C30" s="8" t="s">
        <v>7</v>
      </c>
      <c r="D30" s="8" t="s">
        <v>13</v>
      </c>
      <c r="F30" s="38"/>
      <c r="G30" s="39"/>
      <c r="H30" s="39"/>
    </row>
    <row r="31" spans="1:8" ht="14.25" x14ac:dyDescent="0.3">
      <c r="A31" s="5"/>
      <c r="B31" s="4"/>
      <c r="C31" s="90">
        <v>45253</v>
      </c>
      <c r="D31" s="9"/>
      <c r="F31" s="40"/>
      <c r="G31" s="40"/>
      <c r="H31" s="40"/>
    </row>
    <row r="32" spans="1:8" x14ac:dyDescent="0.25">
      <c r="A32" s="1" t="s">
        <v>29</v>
      </c>
      <c r="B32" s="2">
        <v>1</v>
      </c>
      <c r="C32" s="91" t="s">
        <v>63</v>
      </c>
      <c r="D32" s="10"/>
    </row>
    <row r="33" spans="1:4" x14ac:dyDescent="0.25">
      <c r="A33" s="1"/>
      <c r="B33" s="2">
        <v>1</v>
      </c>
      <c r="C33" s="91" t="s">
        <v>64</v>
      </c>
      <c r="D33" s="10"/>
    </row>
    <row r="34" spans="1:4" ht="27" x14ac:dyDescent="0.25">
      <c r="A34" s="1"/>
      <c r="B34" s="2">
        <v>2</v>
      </c>
      <c r="C34" s="91" t="s">
        <v>86</v>
      </c>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22</v>
      </c>
      <c r="B41" s="12">
        <f>SUM(B31:B40)</f>
        <v>4</v>
      </c>
      <c r="C41" s="86" t="s">
        <v>33</v>
      </c>
      <c r="D41" s="13"/>
    </row>
    <row r="42" spans="1:4" ht="15" thickBot="1" x14ac:dyDescent="0.35">
      <c r="A42" s="14"/>
      <c r="B42" s="14"/>
      <c r="C42" s="14"/>
      <c r="D42" s="14"/>
    </row>
    <row r="43" spans="1:4" ht="18.75" thickBot="1" x14ac:dyDescent="0.3">
      <c r="A43" s="6" t="s">
        <v>14</v>
      </c>
      <c r="B43" s="7">
        <v>4</v>
      </c>
      <c r="C43" s="17"/>
      <c r="D43" s="85"/>
    </row>
    <row r="44" spans="1:4" ht="27.75" thickBot="1" x14ac:dyDescent="0.3">
      <c r="A44" s="8" t="s">
        <v>3</v>
      </c>
      <c r="B44" s="18" t="s">
        <v>15</v>
      </c>
      <c r="C44" s="8" t="s">
        <v>7</v>
      </c>
      <c r="D44" s="8" t="s">
        <v>13</v>
      </c>
    </row>
    <row r="45" spans="1:4" x14ac:dyDescent="0.25">
      <c r="A45" s="5"/>
      <c r="B45" s="4"/>
      <c r="C45" s="90">
        <v>45260</v>
      </c>
      <c r="D45" s="9"/>
    </row>
    <row r="46" spans="1:4" x14ac:dyDescent="0.25">
      <c r="A46" s="1" t="s">
        <v>29</v>
      </c>
      <c r="B46" s="2">
        <v>1</v>
      </c>
      <c r="C46" s="91" t="s">
        <v>67</v>
      </c>
      <c r="D46" s="10"/>
    </row>
    <row r="47" spans="1:4" ht="27" x14ac:dyDescent="0.25">
      <c r="A47" s="1" t="s">
        <v>30</v>
      </c>
      <c r="B47" s="2">
        <v>1</v>
      </c>
      <c r="C47" s="91" t="s">
        <v>73</v>
      </c>
      <c r="D47" s="10"/>
    </row>
    <row r="48" spans="1:4" x14ac:dyDescent="0.25">
      <c r="A48" s="1" t="s">
        <v>29</v>
      </c>
      <c r="B48" s="2">
        <v>1</v>
      </c>
      <c r="C48" s="91" t="s">
        <v>72</v>
      </c>
      <c r="D48" s="10"/>
    </row>
    <row r="49" spans="1:4" x14ac:dyDescent="0.25">
      <c r="A49" s="1" t="s">
        <v>30</v>
      </c>
      <c r="B49" s="2">
        <v>1</v>
      </c>
      <c r="C49" s="91" t="s">
        <v>74</v>
      </c>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4</v>
      </c>
      <c r="C55" s="86" t="s">
        <v>33</v>
      </c>
      <c r="D55" s="13"/>
    </row>
    <row r="56" spans="1:4" ht="15" thickBot="1" x14ac:dyDescent="0.35">
      <c r="A56" s="14"/>
      <c r="B56" s="14"/>
      <c r="C56" s="14"/>
      <c r="D56" s="14"/>
    </row>
    <row r="57" spans="1:4" ht="18.75" thickBot="1" x14ac:dyDescent="0.3">
      <c r="A57" s="6" t="s">
        <v>14</v>
      </c>
      <c r="B57" s="7">
        <v>5</v>
      </c>
      <c r="C57" s="17"/>
      <c r="D57" s="85"/>
    </row>
    <row r="58" spans="1:4" ht="27.75" thickBot="1" x14ac:dyDescent="0.3">
      <c r="A58" s="8" t="s">
        <v>3</v>
      </c>
      <c r="B58" s="18" t="s">
        <v>15</v>
      </c>
      <c r="C58" s="8" t="s">
        <v>7</v>
      </c>
      <c r="D58" s="8" t="s">
        <v>13</v>
      </c>
    </row>
    <row r="59" spans="1:4" x14ac:dyDescent="0.25">
      <c r="A59" s="5"/>
      <c r="B59" s="4"/>
      <c r="C59" s="90">
        <v>45267</v>
      </c>
      <c r="D59" s="9"/>
    </row>
    <row r="60" spans="1:4" x14ac:dyDescent="0.25">
      <c r="A60" s="1" t="s">
        <v>29</v>
      </c>
      <c r="B60" s="2">
        <v>2</v>
      </c>
      <c r="C60" s="91" t="s">
        <v>75</v>
      </c>
      <c r="D60" s="10"/>
    </row>
    <row r="61" spans="1:4" x14ac:dyDescent="0.25">
      <c r="A61" s="1" t="s">
        <v>30</v>
      </c>
      <c r="B61" s="2">
        <v>1</v>
      </c>
      <c r="C61" s="91" t="s">
        <v>76</v>
      </c>
      <c r="D61" s="10"/>
    </row>
    <row r="62" spans="1:4" x14ac:dyDescent="0.25">
      <c r="A62" s="1" t="s">
        <v>29</v>
      </c>
      <c r="B62" s="2">
        <v>1</v>
      </c>
      <c r="C62" s="91" t="s">
        <v>78</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4</v>
      </c>
      <c r="C69" s="86" t="s">
        <v>33</v>
      </c>
      <c r="D69" s="13"/>
    </row>
    <row r="70" spans="1:4" ht="15" thickBot="1" x14ac:dyDescent="0.35">
      <c r="A70" s="14"/>
      <c r="B70" s="14"/>
      <c r="C70" s="14"/>
      <c r="D70" s="14"/>
    </row>
    <row r="71" spans="1:4" ht="18.75" thickBot="1" x14ac:dyDescent="0.3">
      <c r="A71" s="6" t="s">
        <v>14</v>
      </c>
      <c r="B71" s="7">
        <v>6</v>
      </c>
      <c r="C71" s="17"/>
      <c r="D71" s="85"/>
    </row>
    <row r="72" spans="1:4" ht="27.75" thickBot="1" x14ac:dyDescent="0.3">
      <c r="A72" s="8" t="s">
        <v>3</v>
      </c>
      <c r="B72" s="18" t="s">
        <v>15</v>
      </c>
      <c r="C72" s="8" t="s">
        <v>7</v>
      </c>
      <c r="D72" s="8" t="s">
        <v>13</v>
      </c>
    </row>
    <row r="73" spans="1:4" x14ac:dyDescent="0.25">
      <c r="A73" s="5" t="s">
        <v>29</v>
      </c>
      <c r="B73" s="4">
        <v>2</v>
      </c>
      <c r="C73" s="89" t="s">
        <v>44</v>
      </c>
      <c r="D73" s="9"/>
    </row>
    <row r="74" spans="1:4" x14ac:dyDescent="0.25">
      <c r="A74" s="1" t="s">
        <v>30</v>
      </c>
      <c r="B74" s="2">
        <v>2</v>
      </c>
      <c r="C74" s="91" t="s">
        <v>45</v>
      </c>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4</v>
      </c>
      <c r="C83" s="86" t="s">
        <v>33</v>
      </c>
      <c r="D83" s="13"/>
    </row>
    <row r="84" spans="1:4" ht="15" thickBot="1" x14ac:dyDescent="0.35">
      <c r="A84" s="14"/>
      <c r="B84" s="14"/>
      <c r="C84" s="14"/>
      <c r="D84" s="14"/>
    </row>
    <row r="85" spans="1:4" ht="18.75" thickBot="1" x14ac:dyDescent="0.3">
      <c r="A85" s="6" t="s">
        <v>14</v>
      </c>
      <c r="B85" s="7">
        <v>7</v>
      </c>
      <c r="C85" s="17"/>
      <c r="D85" s="85"/>
    </row>
    <row r="86" spans="1:4" ht="27.75" thickBot="1" x14ac:dyDescent="0.3">
      <c r="A86" s="8" t="s">
        <v>3</v>
      </c>
      <c r="B86" s="18" t="s">
        <v>15</v>
      </c>
      <c r="C86" s="8" t="s">
        <v>7</v>
      </c>
      <c r="D86" s="8" t="s">
        <v>13</v>
      </c>
    </row>
    <row r="87" spans="1:4" x14ac:dyDescent="0.25">
      <c r="A87" s="5" t="s">
        <v>21</v>
      </c>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0</v>
      </c>
      <c r="C97" s="86" t="s">
        <v>33</v>
      </c>
      <c r="D97" s="13"/>
    </row>
    <row r="98" spans="1:4" ht="15" thickBot="1" x14ac:dyDescent="0.35">
      <c r="A98" s="14"/>
      <c r="B98" s="14"/>
      <c r="C98" s="14"/>
      <c r="D98" s="14"/>
    </row>
    <row r="99" spans="1:4" ht="18.75" thickBot="1" x14ac:dyDescent="0.3">
      <c r="A99" s="6" t="s">
        <v>14</v>
      </c>
      <c r="B99" s="7">
        <v>8</v>
      </c>
      <c r="C99" s="17"/>
      <c r="D99" s="85"/>
    </row>
    <row r="100" spans="1:4" ht="27.75" thickBot="1" x14ac:dyDescent="0.3">
      <c r="A100" s="8" t="s">
        <v>3</v>
      </c>
      <c r="B100" s="18" t="s">
        <v>15</v>
      </c>
      <c r="C100" s="8" t="s">
        <v>7</v>
      </c>
      <c r="D100" s="8" t="s">
        <v>13</v>
      </c>
    </row>
    <row r="101" spans="1:4" x14ac:dyDescent="0.25">
      <c r="A101" s="5"/>
      <c r="B101" s="4"/>
      <c r="C101" s="89" t="s">
        <v>35</v>
      </c>
      <c r="D101" s="9"/>
    </row>
    <row r="102" spans="1:4" x14ac:dyDescent="0.25">
      <c r="A102" s="1" t="s">
        <v>32</v>
      </c>
      <c r="B102" s="2">
        <v>1</v>
      </c>
      <c r="C102" s="91" t="s">
        <v>46</v>
      </c>
      <c r="D102" s="10"/>
    </row>
    <row r="103" spans="1:4" x14ac:dyDescent="0.25">
      <c r="A103" s="1" t="s">
        <v>32</v>
      </c>
      <c r="B103" s="2">
        <v>1</v>
      </c>
      <c r="C103" s="91" t="s">
        <v>47</v>
      </c>
      <c r="D103" s="10"/>
    </row>
    <row r="104" spans="1:4" x14ac:dyDescent="0.25">
      <c r="A104" s="1" t="s">
        <v>29</v>
      </c>
      <c r="B104" s="2">
        <v>1</v>
      </c>
      <c r="C104" s="91" t="s">
        <v>48</v>
      </c>
      <c r="D104" s="10"/>
    </row>
    <row r="105" spans="1:4" x14ac:dyDescent="0.25">
      <c r="A105" s="1" t="s">
        <v>29</v>
      </c>
      <c r="B105" s="2">
        <v>1</v>
      </c>
      <c r="C105" s="91" t="s">
        <v>49</v>
      </c>
      <c r="D105" s="10"/>
    </row>
    <row r="106" spans="1:4" x14ac:dyDescent="0.25">
      <c r="A106" s="1" t="s">
        <v>29</v>
      </c>
      <c r="B106" s="2">
        <v>1</v>
      </c>
      <c r="C106" s="91" t="s">
        <v>50</v>
      </c>
      <c r="D106" s="10"/>
    </row>
    <row r="107" spans="1:4" x14ac:dyDescent="0.25">
      <c r="A107" s="2" t="s">
        <v>30</v>
      </c>
      <c r="B107" s="2">
        <v>1</v>
      </c>
      <c r="C107" s="91" t="s">
        <v>51</v>
      </c>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6</v>
      </c>
      <c r="C111" s="86" t="s">
        <v>33</v>
      </c>
      <c r="D111" s="13"/>
    </row>
    <row r="112" spans="1:4" ht="15" thickBot="1" x14ac:dyDescent="0.35">
      <c r="A112" s="14"/>
      <c r="B112" s="14"/>
      <c r="C112" s="14"/>
      <c r="D112" s="14"/>
    </row>
    <row r="113" spans="1:4" ht="18.75" thickBot="1" x14ac:dyDescent="0.3">
      <c r="A113" s="6" t="s">
        <v>14</v>
      </c>
      <c r="B113" s="7">
        <v>9</v>
      </c>
      <c r="C113" s="17"/>
      <c r="D113" s="85"/>
    </row>
    <row r="114" spans="1:4" ht="27.75" thickBot="1" x14ac:dyDescent="0.3">
      <c r="A114" s="8" t="s">
        <v>3</v>
      </c>
      <c r="B114" s="18" t="s">
        <v>15</v>
      </c>
      <c r="C114" s="8" t="s">
        <v>7</v>
      </c>
      <c r="D114" s="8" t="s">
        <v>13</v>
      </c>
    </row>
    <row r="115" spans="1:4" x14ac:dyDescent="0.25">
      <c r="A115" s="5"/>
      <c r="B115" s="4"/>
      <c r="C115" s="89" t="s">
        <v>35</v>
      </c>
      <c r="D115" s="9"/>
    </row>
    <row r="116" spans="1:4" x14ac:dyDescent="0.25">
      <c r="A116" s="1" t="s">
        <v>31</v>
      </c>
      <c r="B116" s="2">
        <v>1</v>
      </c>
      <c r="C116" s="91" t="s">
        <v>83</v>
      </c>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c r="B124" s="3"/>
      <c r="C124" s="11"/>
      <c r="D124" s="11"/>
    </row>
    <row r="125" spans="1:4" ht="14.25" thickBot="1" x14ac:dyDescent="0.3">
      <c r="A125" s="12" t="s">
        <v>22</v>
      </c>
      <c r="B125" s="12">
        <f>SUM(B115:B124)</f>
        <v>1</v>
      </c>
      <c r="C125" s="86" t="s">
        <v>33</v>
      </c>
      <c r="D125" s="13"/>
    </row>
    <row r="126" spans="1:4" ht="15" thickBot="1" x14ac:dyDescent="0.35">
      <c r="A126" s="14"/>
      <c r="B126" s="14"/>
      <c r="C126" s="14"/>
      <c r="D126" s="14"/>
    </row>
    <row r="127" spans="1:4" ht="18.75" thickBot="1" x14ac:dyDescent="0.3">
      <c r="A127" s="6" t="s">
        <v>14</v>
      </c>
      <c r="B127" s="7">
        <v>10</v>
      </c>
      <c r="C127" s="17"/>
      <c r="D127" s="85"/>
    </row>
    <row r="128" spans="1:4" ht="27.75" thickBot="1" x14ac:dyDescent="0.3">
      <c r="A128" s="8" t="s">
        <v>3</v>
      </c>
      <c r="B128" s="18" t="s">
        <v>15</v>
      </c>
      <c r="C128" s="8" t="s">
        <v>7</v>
      </c>
      <c r="D128" s="8" t="s">
        <v>13</v>
      </c>
    </row>
    <row r="129" spans="1:4" x14ac:dyDescent="0.25">
      <c r="A129" s="5" t="s">
        <v>32</v>
      </c>
      <c r="B129" s="4">
        <v>2</v>
      </c>
      <c r="C129" s="92" t="s">
        <v>92</v>
      </c>
      <c r="D129" s="9"/>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c r="B138" s="3"/>
      <c r="C138" s="11"/>
      <c r="D138" s="11"/>
    </row>
    <row r="139" spans="1:4" ht="14.25" thickBot="1" x14ac:dyDescent="0.3">
      <c r="A139" s="12" t="s">
        <v>22</v>
      </c>
      <c r="B139" s="12">
        <f>SUM(B129:B138)</f>
        <v>2</v>
      </c>
      <c r="C139" s="86" t="s">
        <v>33</v>
      </c>
      <c r="D139" s="13"/>
    </row>
    <row r="140" spans="1:4" ht="14.25" x14ac:dyDescent="0.3">
      <c r="A140" s="14"/>
      <c r="B140" s="14"/>
      <c r="C140" s="14"/>
      <c r="D140" s="14"/>
    </row>
    <row r="141" spans="1:4" x14ac:dyDescent="0.25">
      <c r="A141" s="87" t="s">
        <v>34</v>
      </c>
    </row>
  </sheetData>
  <sheetProtection sheet="1" objects="1" scenarios="1" insertRows="0" selectLockedCells="1"/>
  <dataValidations count="4">
    <dataValidation type="list" allowBlank="1" showInputMessage="1" showErrorMessage="1" sqref="A3:A12 A17:A26 A31:A40 A45:A54 A59:A68 A73:A82 A87:A96 A101:A110 A115:A124 A129:A138" xr:uid="{5AE077AE-7A0A-4E5A-9240-EBEC6F9F666C}">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xr:uid="{9882B2AD-DA00-450D-B46B-A8B9FFCB1D3E}">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xr:uid="{8297BCFF-EB59-4D4F-87A3-9A67618D35BC}">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D898A59E-13D0-4A66-8048-128D8EB65269}">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row>
    <row r="2" spans="1:4" ht="27.7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9A054-8052-4B97-9BD1-9C2832A4FA88}">
  <sheetPr codeName="Feuil9"/>
  <dimension ref="A1:H191"/>
  <sheetViews>
    <sheetView topLeftCell="A162" workbookViewId="0">
      <selection activeCell="C174" sqref="C174"/>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f>Donnees!$C$9</f>
        <v>45239</v>
      </c>
    </row>
    <row r="2" spans="1:4" ht="27.75" thickBot="1" x14ac:dyDescent="0.3">
      <c r="A2" s="45" t="s">
        <v>3</v>
      </c>
      <c r="B2" s="46" t="s">
        <v>15</v>
      </c>
      <c r="C2" s="45" t="s">
        <v>7</v>
      </c>
      <c r="D2" s="45" t="s">
        <v>13</v>
      </c>
    </row>
    <row r="3" spans="1:4" s="52" customFormat="1" ht="40.5" x14ac:dyDescent="0.25">
      <c r="A3" s="5" t="s">
        <v>28</v>
      </c>
      <c r="B3" s="4">
        <v>1</v>
      </c>
      <c r="C3" s="89" t="s">
        <v>56</v>
      </c>
      <c r="D3" s="9"/>
    </row>
    <row r="4" spans="1:4" s="52" customFormat="1" ht="27" x14ac:dyDescent="0.25">
      <c r="A4" s="1" t="s">
        <v>28</v>
      </c>
      <c r="B4" s="2">
        <v>1</v>
      </c>
      <c r="C4" s="91" t="s">
        <v>57</v>
      </c>
      <c r="D4" s="10"/>
    </row>
    <row r="5" spans="1:4" s="52" customFormat="1" ht="27" x14ac:dyDescent="0.25">
      <c r="A5" s="1" t="s">
        <v>28</v>
      </c>
      <c r="B5" s="2">
        <v>1</v>
      </c>
      <c r="C5" s="91" t="s">
        <v>59</v>
      </c>
      <c r="D5" s="10"/>
    </row>
    <row r="6" spans="1:4" s="52" customFormat="1" x14ac:dyDescent="0.25">
      <c r="A6" s="1" t="s">
        <v>29</v>
      </c>
      <c r="B6" s="2">
        <v>1</v>
      </c>
      <c r="C6" s="91" t="s">
        <v>58</v>
      </c>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4</v>
      </c>
      <c r="C18" s="88" t="s">
        <v>33</v>
      </c>
      <c r="D18" s="48"/>
    </row>
    <row r="19" spans="1:8" ht="15" thickBot="1" x14ac:dyDescent="0.35">
      <c r="A19" s="49"/>
      <c r="B19" s="49"/>
      <c r="C19" s="49"/>
      <c r="D19" s="49"/>
    </row>
    <row r="20" spans="1:8" ht="18.75" thickBot="1" x14ac:dyDescent="0.3">
      <c r="A20" s="42" t="s">
        <v>14</v>
      </c>
      <c r="B20" s="43">
        <v>2</v>
      </c>
      <c r="C20" s="44" t="s">
        <v>23</v>
      </c>
      <c r="D20" s="53">
        <f>$D$1+7</f>
        <v>45246</v>
      </c>
    </row>
    <row r="21" spans="1:8" ht="27.75" thickBot="1" x14ac:dyDescent="0.3">
      <c r="A21" s="45" t="s">
        <v>3</v>
      </c>
      <c r="B21" s="46" t="s">
        <v>15</v>
      </c>
      <c r="C21" s="45" t="s">
        <v>7</v>
      </c>
      <c r="D21" s="45" t="s">
        <v>13</v>
      </c>
    </row>
    <row r="22" spans="1:8" ht="27" x14ac:dyDescent="0.25">
      <c r="A22" s="5" t="s">
        <v>29</v>
      </c>
      <c r="B22" s="4">
        <v>1</v>
      </c>
      <c r="C22" s="89" t="s">
        <v>60</v>
      </c>
      <c r="D22" s="9"/>
    </row>
    <row r="23" spans="1:8" x14ac:dyDescent="0.25">
      <c r="A23" s="1" t="s">
        <v>30</v>
      </c>
      <c r="B23" s="2">
        <v>1</v>
      </c>
      <c r="C23" s="91" t="s">
        <v>61</v>
      </c>
      <c r="D23" s="10"/>
    </row>
    <row r="24" spans="1:8" ht="108" x14ac:dyDescent="0.25">
      <c r="A24" s="1" t="s">
        <v>29</v>
      </c>
      <c r="B24" s="2">
        <v>2</v>
      </c>
      <c r="C24" s="91" t="s">
        <v>77</v>
      </c>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22</v>
      </c>
      <c r="B37" s="47">
        <f>SUM(B22:B36)</f>
        <v>4</v>
      </c>
      <c r="C37" s="88" t="s">
        <v>33</v>
      </c>
      <c r="D37" s="48"/>
    </row>
    <row r="38" spans="1:8" ht="15" thickBot="1" x14ac:dyDescent="0.35">
      <c r="A38" s="49"/>
      <c r="B38" s="49"/>
      <c r="C38" s="49"/>
      <c r="D38" s="49"/>
    </row>
    <row r="39" spans="1:8" ht="18.75" thickBot="1" x14ac:dyDescent="0.3">
      <c r="A39" s="42" t="s">
        <v>14</v>
      </c>
      <c r="B39" s="43">
        <v>3</v>
      </c>
      <c r="C39" s="44" t="s">
        <v>23</v>
      </c>
      <c r="D39" s="53">
        <f>$D$20+7</f>
        <v>45253</v>
      </c>
    </row>
    <row r="40" spans="1:8" ht="27.75" thickBot="1" x14ac:dyDescent="0.3">
      <c r="A40" s="45" t="s">
        <v>3</v>
      </c>
      <c r="B40" s="46" t="s">
        <v>15</v>
      </c>
      <c r="C40" s="45" t="s">
        <v>7</v>
      </c>
      <c r="D40" s="45" t="s">
        <v>13</v>
      </c>
    </row>
    <row r="41" spans="1:8" ht="27" x14ac:dyDescent="0.25">
      <c r="A41" s="5" t="s">
        <v>29</v>
      </c>
      <c r="B41" s="4">
        <v>1</v>
      </c>
      <c r="C41" s="89" t="s">
        <v>65</v>
      </c>
      <c r="D41" s="9"/>
    </row>
    <row r="42" spans="1:8" x14ac:dyDescent="0.25">
      <c r="A42" s="1" t="s">
        <v>29</v>
      </c>
      <c r="B42" s="2">
        <v>1</v>
      </c>
      <c r="C42" s="91" t="s">
        <v>38</v>
      </c>
      <c r="D42" s="10"/>
    </row>
    <row r="43" spans="1:8" ht="27" x14ac:dyDescent="0.25">
      <c r="A43" s="1" t="s">
        <v>29</v>
      </c>
      <c r="B43" s="2">
        <v>1</v>
      </c>
      <c r="C43" s="91" t="s">
        <v>66</v>
      </c>
      <c r="D43" s="10"/>
    </row>
    <row r="44" spans="1:8" ht="27" x14ac:dyDescent="0.25">
      <c r="A44" s="1" t="s">
        <v>29</v>
      </c>
      <c r="B44" s="2">
        <v>1</v>
      </c>
      <c r="C44" s="91" t="s">
        <v>79</v>
      </c>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22</v>
      </c>
      <c r="B56" s="47">
        <f>SUM(B41:B55)</f>
        <v>4</v>
      </c>
      <c r="C56" s="88" t="s">
        <v>33</v>
      </c>
      <c r="D56" s="48"/>
    </row>
    <row r="57" spans="1:4" ht="15" thickBot="1" x14ac:dyDescent="0.35">
      <c r="A57" s="49"/>
      <c r="B57" s="49"/>
      <c r="C57" s="49"/>
      <c r="D57" s="49"/>
    </row>
    <row r="58" spans="1:4" ht="18.75" thickBot="1" x14ac:dyDescent="0.3">
      <c r="A58" s="42" t="s">
        <v>14</v>
      </c>
      <c r="B58" s="43">
        <v>4</v>
      </c>
      <c r="C58" s="44" t="s">
        <v>23</v>
      </c>
      <c r="D58" s="53">
        <f>$D$39+7</f>
        <v>45260</v>
      </c>
    </row>
    <row r="59" spans="1:4" ht="27.75" thickBot="1" x14ac:dyDescent="0.3">
      <c r="A59" s="45" t="s">
        <v>3</v>
      </c>
      <c r="B59" s="46" t="s">
        <v>15</v>
      </c>
      <c r="C59" s="45" t="s">
        <v>7</v>
      </c>
      <c r="D59" s="45" t="s">
        <v>13</v>
      </c>
    </row>
    <row r="60" spans="1:4" ht="40.5" x14ac:dyDescent="0.25">
      <c r="A60" s="5" t="s">
        <v>29</v>
      </c>
      <c r="B60" s="4">
        <v>1</v>
      </c>
      <c r="C60" s="89" t="s">
        <v>68</v>
      </c>
      <c r="D60" s="9"/>
    </row>
    <row r="61" spans="1:4" ht="27" x14ac:dyDescent="0.25">
      <c r="A61" s="1" t="s">
        <v>30</v>
      </c>
      <c r="B61" s="2">
        <v>1</v>
      </c>
      <c r="C61" s="91" t="s">
        <v>69</v>
      </c>
      <c r="D61" s="10"/>
    </row>
    <row r="62" spans="1:4" ht="27" x14ac:dyDescent="0.25">
      <c r="A62" s="1" t="s">
        <v>29</v>
      </c>
      <c r="B62" s="2">
        <v>1</v>
      </c>
      <c r="C62" s="91" t="s">
        <v>70</v>
      </c>
      <c r="D62" s="10"/>
    </row>
    <row r="63" spans="1:4" ht="27" x14ac:dyDescent="0.25">
      <c r="A63" s="1" t="s">
        <v>30</v>
      </c>
      <c r="B63" s="2">
        <v>1</v>
      </c>
      <c r="C63" s="91" t="s">
        <v>71</v>
      </c>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22</v>
      </c>
      <c r="B75" s="47">
        <f>SUM(B60:B74)</f>
        <v>4</v>
      </c>
      <c r="C75" s="88" t="s">
        <v>33</v>
      </c>
      <c r="D75" s="48"/>
    </row>
    <row r="76" spans="1:4" ht="15" thickBot="1" x14ac:dyDescent="0.35">
      <c r="A76" s="49"/>
      <c r="B76" s="49"/>
      <c r="C76" s="49"/>
      <c r="D76" s="49"/>
    </row>
    <row r="77" spans="1:4" ht="18.75" thickBot="1" x14ac:dyDescent="0.3">
      <c r="A77" s="42" t="s">
        <v>14</v>
      </c>
      <c r="B77" s="43">
        <v>5</v>
      </c>
      <c r="C77" s="44" t="s">
        <v>23</v>
      </c>
      <c r="D77" s="53">
        <f>$D$58+7</f>
        <v>45267</v>
      </c>
    </row>
    <row r="78" spans="1:4" ht="27.75" thickBot="1" x14ac:dyDescent="0.3">
      <c r="A78" s="45" t="s">
        <v>3</v>
      </c>
      <c r="B78" s="46" t="s">
        <v>15</v>
      </c>
      <c r="C78" s="45" t="s">
        <v>7</v>
      </c>
      <c r="D78" s="45" t="s">
        <v>13</v>
      </c>
    </row>
    <row r="79" spans="1:4" x14ac:dyDescent="0.25">
      <c r="A79" s="5" t="s">
        <v>29</v>
      </c>
      <c r="B79" s="4">
        <v>2</v>
      </c>
      <c r="C79" s="89" t="s">
        <v>80</v>
      </c>
      <c r="D79" s="9"/>
    </row>
    <row r="80" spans="1:4" ht="27" x14ac:dyDescent="0.25">
      <c r="A80" s="1" t="s">
        <v>29</v>
      </c>
      <c r="B80" s="2">
        <v>2</v>
      </c>
      <c r="C80" s="91" t="s">
        <v>81</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22</v>
      </c>
      <c r="B94" s="47">
        <f>SUM(B79:B93)</f>
        <v>4</v>
      </c>
      <c r="C94" s="88" t="s">
        <v>33</v>
      </c>
      <c r="D94" s="48"/>
    </row>
    <row r="95" spans="1:4" ht="15" thickBot="1" x14ac:dyDescent="0.35">
      <c r="A95" s="49"/>
      <c r="B95" s="49"/>
      <c r="C95" s="49"/>
      <c r="D95" s="49"/>
    </row>
    <row r="96" spans="1:4" ht="18.75" thickBot="1" x14ac:dyDescent="0.3">
      <c r="A96" s="42" t="s">
        <v>14</v>
      </c>
      <c r="B96" s="43">
        <v>6</v>
      </c>
      <c r="C96" s="44" t="s">
        <v>23</v>
      </c>
      <c r="D96" s="53">
        <f>$D$77+7</f>
        <v>45274</v>
      </c>
    </row>
    <row r="97" spans="1:4" ht="27.75" thickBot="1" x14ac:dyDescent="0.3">
      <c r="A97" s="45" t="s">
        <v>3</v>
      </c>
      <c r="B97" s="46" t="s">
        <v>15</v>
      </c>
      <c r="C97" s="45" t="s">
        <v>7</v>
      </c>
      <c r="D97" s="45" t="s">
        <v>13</v>
      </c>
    </row>
    <row r="98" spans="1:4" ht="27" x14ac:dyDescent="0.25">
      <c r="A98" s="5" t="s">
        <v>29</v>
      </c>
      <c r="B98" s="4">
        <v>2</v>
      </c>
      <c r="C98" s="89" t="s">
        <v>82</v>
      </c>
      <c r="D98" s="9"/>
    </row>
    <row r="99" spans="1:4" x14ac:dyDescent="0.25">
      <c r="A99" s="1" t="s">
        <v>29</v>
      </c>
      <c r="B99" s="2">
        <v>1</v>
      </c>
      <c r="C99" s="91" t="s">
        <v>39</v>
      </c>
      <c r="D99" s="10"/>
    </row>
    <row r="100" spans="1:4" ht="27" x14ac:dyDescent="0.25">
      <c r="A100" s="1" t="s">
        <v>30</v>
      </c>
      <c r="B100" s="2">
        <v>1</v>
      </c>
      <c r="C100" s="91" t="s">
        <v>40</v>
      </c>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22</v>
      </c>
      <c r="B113" s="47">
        <f>SUM(B98:B112)</f>
        <v>4</v>
      </c>
      <c r="C113" s="88" t="s">
        <v>33</v>
      </c>
      <c r="D113" s="48"/>
    </row>
    <row r="114" spans="1:4" ht="15" thickBot="1" x14ac:dyDescent="0.35">
      <c r="A114" s="49"/>
      <c r="B114" s="49"/>
      <c r="C114" s="49"/>
      <c r="D114" s="49"/>
    </row>
    <row r="115" spans="1:4" ht="18.75" thickBot="1" x14ac:dyDescent="0.3">
      <c r="A115" s="42" t="s">
        <v>14</v>
      </c>
      <c r="B115" s="43">
        <v>7</v>
      </c>
      <c r="C115" s="44" t="s">
        <v>23</v>
      </c>
      <c r="D115" s="53">
        <f>$D$96+7</f>
        <v>45281</v>
      </c>
    </row>
    <row r="116" spans="1:4" ht="27.75" thickBot="1" x14ac:dyDescent="0.3">
      <c r="A116" s="45" t="s">
        <v>3</v>
      </c>
      <c r="B116" s="46" t="s">
        <v>15</v>
      </c>
      <c r="C116" s="45" t="s">
        <v>7</v>
      </c>
      <c r="D116" s="45" t="s">
        <v>13</v>
      </c>
    </row>
    <row r="117" spans="1:4" x14ac:dyDescent="0.25">
      <c r="A117" s="5" t="s">
        <v>21</v>
      </c>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22</v>
      </c>
      <c r="B132" s="47">
        <f>SUM(B117:B131)</f>
        <v>0</v>
      </c>
      <c r="C132" s="88" t="s">
        <v>33</v>
      </c>
      <c r="D132" s="48"/>
    </row>
    <row r="133" spans="1:4" ht="15" thickBot="1" x14ac:dyDescent="0.35">
      <c r="A133" s="49"/>
      <c r="B133" s="49"/>
      <c r="C133" s="49"/>
      <c r="D133" s="49"/>
    </row>
    <row r="134" spans="1:4" ht="18.75" thickBot="1" x14ac:dyDescent="0.3">
      <c r="A134" s="42" t="s">
        <v>14</v>
      </c>
      <c r="B134" s="43">
        <v>8</v>
      </c>
      <c r="C134" s="44" t="s">
        <v>23</v>
      </c>
      <c r="D134" s="53">
        <f>$D$115+7</f>
        <v>45288</v>
      </c>
    </row>
    <row r="135" spans="1:4" ht="27.75" thickBot="1" x14ac:dyDescent="0.3">
      <c r="A135" s="45" t="s">
        <v>3</v>
      </c>
      <c r="B135" s="46" t="s">
        <v>15</v>
      </c>
      <c r="C135" s="45" t="s">
        <v>7</v>
      </c>
      <c r="D135" s="45" t="s">
        <v>13</v>
      </c>
    </row>
    <row r="136" spans="1:4" x14ac:dyDescent="0.25">
      <c r="A136" s="5"/>
      <c r="B136" s="4"/>
      <c r="C136" s="89" t="s">
        <v>84</v>
      </c>
      <c r="D136" s="9"/>
    </row>
    <row r="137" spans="1:4" x14ac:dyDescent="0.25">
      <c r="A137" s="1" t="s">
        <v>29</v>
      </c>
      <c r="B137" s="2">
        <v>1</v>
      </c>
      <c r="C137" s="91" t="s">
        <v>41</v>
      </c>
      <c r="D137" s="10"/>
    </row>
    <row r="138" spans="1:4" x14ac:dyDescent="0.25">
      <c r="A138" s="1" t="s">
        <v>30</v>
      </c>
      <c r="B138" s="2">
        <v>1</v>
      </c>
      <c r="C138" s="91" t="s">
        <v>42</v>
      </c>
      <c r="D138" s="10"/>
    </row>
    <row r="139" spans="1:4" ht="27" x14ac:dyDescent="0.25">
      <c r="A139" s="1" t="s">
        <v>29</v>
      </c>
      <c r="B139" s="2">
        <v>1</v>
      </c>
      <c r="C139" s="91" t="s">
        <v>85</v>
      </c>
      <c r="D139" s="10"/>
    </row>
    <row r="140" spans="1:4" x14ac:dyDescent="0.25">
      <c r="A140" s="1" t="s">
        <v>29</v>
      </c>
      <c r="B140" s="2">
        <v>1</v>
      </c>
      <c r="C140" s="91" t="s">
        <v>43</v>
      </c>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22</v>
      </c>
      <c r="B151" s="47">
        <f>SUM(B136:B150)</f>
        <v>4</v>
      </c>
      <c r="C151" s="88" t="s">
        <v>33</v>
      </c>
      <c r="D151" s="48"/>
    </row>
    <row r="152" spans="1:4" ht="15" thickBot="1" x14ac:dyDescent="0.35">
      <c r="A152" s="49"/>
      <c r="B152" s="49"/>
      <c r="C152" s="49"/>
      <c r="D152" s="49"/>
    </row>
    <row r="153" spans="1:4" ht="18.75" thickBot="1" x14ac:dyDescent="0.3">
      <c r="A153" s="42" t="s">
        <v>14</v>
      </c>
      <c r="B153" s="43">
        <v>9</v>
      </c>
      <c r="C153" s="44" t="s">
        <v>23</v>
      </c>
      <c r="D153" s="53">
        <f>$D$134+7</f>
        <v>45295</v>
      </c>
    </row>
    <row r="154" spans="1:4" ht="27.75" thickBot="1" x14ac:dyDescent="0.3">
      <c r="A154" s="45" t="s">
        <v>3</v>
      </c>
      <c r="B154" s="46" t="s">
        <v>15</v>
      </c>
      <c r="C154" s="45" t="s">
        <v>7</v>
      </c>
      <c r="D154" s="45" t="s">
        <v>13</v>
      </c>
    </row>
    <row r="155" spans="1:4" x14ac:dyDescent="0.25">
      <c r="A155" s="5"/>
      <c r="B155" s="4"/>
      <c r="C155" s="92" t="s">
        <v>87</v>
      </c>
      <c r="D155" s="9"/>
    </row>
    <row r="156" spans="1:4" x14ac:dyDescent="0.25">
      <c r="A156" s="1" t="s">
        <v>30</v>
      </c>
      <c r="B156" s="2">
        <v>2</v>
      </c>
      <c r="C156" s="93" t="s">
        <v>88</v>
      </c>
      <c r="D156" s="10"/>
    </row>
    <row r="157" spans="1:4" x14ac:dyDescent="0.25">
      <c r="A157" s="1" t="s">
        <v>32</v>
      </c>
      <c r="B157" s="2">
        <v>2</v>
      </c>
      <c r="C157" s="93" t="s">
        <v>89</v>
      </c>
      <c r="D157" s="10"/>
    </row>
    <row r="158" spans="1:4" ht="27" x14ac:dyDescent="0.25">
      <c r="A158" s="1" t="s">
        <v>29</v>
      </c>
      <c r="B158" s="2">
        <v>1</v>
      </c>
      <c r="C158" s="93" t="s">
        <v>90</v>
      </c>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4.25" thickBot="1" x14ac:dyDescent="0.3">
      <c r="A169" s="3"/>
      <c r="B169" s="3"/>
      <c r="C169" s="11"/>
      <c r="D169" s="11"/>
    </row>
    <row r="170" spans="1:4" ht="14.25" thickBot="1" x14ac:dyDescent="0.3">
      <c r="A170" s="47" t="s">
        <v>22</v>
      </c>
      <c r="B170" s="47">
        <f>SUM(B155:B169)</f>
        <v>5</v>
      </c>
      <c r="C170" s="88" t="s">
        <v>33</v>
      </c>
      <c r="D170" s="48"/>
    </row>
    <row r="171" spans="1:4" ht="15" thickBot="1" x14ac:dyDescent="0.35">
      <c r="A171" s="49"/>
      <c r="B171" s="49"/>
      <c r="C171" s="49"/>
      <c r="D171" s="49"/>
    </row>
    <row r="172" spans="1:4" ht="18.75" thickBot="1" x14ac:dyDescent="0.3">
      <c r="A172" s="42" t="s">
        <v>14</v>
      </c>
      <c r="B172" s="43">
        <v>10</v>
      </c>
      <c r="C172" s="44" t="s">
        <v>23</v>
      </c>
      <c r="D172" s="53">
        <f>$D$153+7</f>
        <v>45302</v>
      </c>
    </row>
    <row r="173" spans="1:4" ht="27.75" thickBot="1" x14ac:dyDescent="0.3">
      <c r="A173" s="45" t="s">
        <v>3</v>
      </c>
      <c r="B173" s="46" t="s">
        <v>15</v>
      </c>
      <c r="C173" s="45" t="s">
        <v>7</v>
      </c>
      <c r="D173" s="45" t="s">
        <v>13</v>
      </c>
    </row>
    <row r="174" spans="1:4" x14ac:dyDescent="0.25">
      <c r="A174" s="5" t="s">
        <v>32</v>
      </c>
      <c r="B174" s="4">
        <v>2</v>
      </c>
      <c r="C174" s="92" t="s">
        <v>91</v>
      </c>
      <c r="D174" s="9"/>
    </row>
    <row r="175" spans="1:4" x14ac:dyDescent="0.25">
      <c r="A175" s="1"/>
      <c r="B175" s="2"/>
      <c r="C175" s="10"/>
      <c r="D175" s="10"/>
    </row>
    <row r="176" spans="1:4" x14ac:dyDescent="0.25">
      <c r="A176" s="1"/>
      <c r="B176" s="2"/>
      <c r="C176" s="10"/>
      <c r="D176" s="10"/>
    </row>
    <row r="177" spans="1:4" x14ac:dyDescent="0.25">
      <c r="A177" s="1"/>
      <c r="B177" s="2"/>
      <c r="C177" s="10"/>
      <c r="D177" s="10"/>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2"/>
      <c r="B183" s="2"/>
      <c r="C183" s="10"/>
      <c r="D183" s="10"/>
    </row>
    <row r="184" spans="1:4" x14ac:dyDescent="0.25">
      <c r="A184" s="2"/>
      <c r="B184" s="2"/>
      <c r="C184" s="10"/>
      <c r="D184" s="10"/>
    </row>
    <row r="185" spans="1:4" x14ac:dyDescent="0.25">
      <c r="A185" s="2"/>
      <c r="B185" s="2"/>
      <c r="C185" s="10"/>
      <c r="D185" s="10"/>
    </row>
    <row r="186" spans="1:4" x14ac:dyDescent="0.25">
      <c r="A186" s="50"/>
      <c r="B186" s="50"/>
      <c r="C186" s="51"/>
      <c r="D186" s="51"/>
    </row>
    <row r="187" spans="1:4" x14ac:dyDescent="0.25">
      <c r="A187" s="50"/>
      <c r="B187" s="50"/>
      <c r="C187" s="51"/>
      <c r="D187" s="51"/>
    </row>
    <row r="188" spans="1:4" ht="14.25" thickBot="1" x14ac:dyDescent="0.3">
      <c r="A188" s="3"/>
      <c r="B188" s="3"/>
      <c r="C188" s="11"/>
      <c r="D188" s="11"/>
    </row>
    <row r="189" spans="1:4" ht="14.25" thickBot="1" x14ac:dyDescent="0.3">
      <c r="A189" s="47" t="s">
        <v>22</v>
      </c>
      <c r="B189" s="47">
        <f>SUM(B174:B188)</f>
        <v>2</v>
      </c>
      <c r="C189" s="88" t="s">
        <v>33</v>
      </c>
      <c r="D189" s="48"/>
    </row>
    <row r="190" spans="1:4" ht="14.25" x14ac:dyDescent="0.3">
      <c r="A190" s="49"/>
      <c r="B190" s="49"/>
      <c r="C190" s="49"/>
      <c r="D190" s="49"/>
    </row>
    <row r="191" spans="1:4" x14ac:dyDescent="0.25">
      <c r="A191" s="87"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8E31A446-BE9E-4E34-8EE3-EC8BE9615FC3}">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B155:B169 B174:B188" xr:uid="{4ACCABCD-BFFA-4DF4-A2E7-47B92D4B43A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B189" xr:uid="{5C594D2C-B9AF-4BB2-9F3F-F856F7B4CD86}">
      <formula1>0</formula1>
      <formula2>NbPerWeek * NbQuartPer</formula2>
    </dataValidation>
    <dataValidation type="list" allowBlank="1" showInputMessage="1" showErrorMessage="1" sqref="A3:A17 A22:A36 A41:A55 A60:A74 A79:A93 A98:A112 A117:A131 A136:A150 A155:A169 A174:A188" xr:uid="{F133793F-E8FE-4A38-8781-CAA9233F0D15}">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3" ma:contentTypeDescription="Crée un document." ma:contentTypeScope="" ma:versionID="a2a625e4713a1206e22a4c67b5bce77a">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44987950040cbf76ec9c25f294fcc9d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6B433C9A-8A3A-4D69-955C-F3F07BFE31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Hanieh Mohajerani</dc:creator>
  <cp:lastModifiedBy>Hanieh Mohajerani</cp:lastModifiedBy>
  <cp:lastPrinted>2013-08-29T11:33:15Z</cp:lastPrinted>
  <dcterms:created xsi:type="dcterms:W3CDTF">1996-10-21T11:03:58Z</dcterms:created>
  <dcterms:modified xsi:type="dcterms:W3CDTF">2024-01-11T13:08:43Z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